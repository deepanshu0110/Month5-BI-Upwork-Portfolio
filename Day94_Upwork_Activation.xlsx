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6C0746F0-DC60-475D-9901-CB37B4B23BE7}" xr6:coauthVersionLast="47" xr6:coauthVersionMax="47" xr10:uidLastSave="{00000000-0000-0000-0000-000000000000}"/>
  <bookViews>
    <workbookView xWindow="-108" yWindow="-108" windowWidth="23256" windowHeight="12456" activeTab="3" xr2:uid="{00000000-000D-0000-FFFF-FFFF00000000}"/>
  </bookViews>
  <sheets>
    <sheet name="1_Job_Market_Overview" sheetId="1" r:id="rId1"/>
    <sheet name="2_Practice_Guide" sheetId="2" r:id="rId2"/>
    <sheet name="3_Concept_Notes_Templates" sheetId="3" r:id="rId3"/>
    <sheet name="4_Bid_Log" sheetId="4" r:id="rId4"/>
    <sheet name="5_Scoring_Rubric" sheetId="5" r:id="rId5"/>
  </sheets>
  <calcPr calcId="191029"/>
</workbook>
</file>

<file path=xl/calcChain.xml><?xml version="1.0" encoding="utf-8"?>
<calcChain xmlns="http://schemas.openxmlformats.org/spreadsheetml/2006/main">
  <c r="F10" i="4" l="1"/>
  <c r="D21" i="5"/>
  <c r="D10" i="4"/>
</calcChain>
</file>

<file path=xl/sharedStrings.xml><?xml version="1.0" encoding="utf-8"?>
<sst xmlns="http://schemas.openxmlformats.org/spreadsheetml/2006/main" count="376" uniqueCount="311">
  <si>
    <t>Day 94 — Upwork Activation | Job Market Overview (Raw Reference — Do Not Edit)</t>
  </si>
  <si>
    <t>Month 5 Position</t>
  </si>
  <si>
    <t>Day</t>
  </si>
  <si>
    <t>Milestone</t>
  </si>
  <si>
    <t>Status</t>
  </si>
  <si>
    <t>90</t>
  </si>
  <si>
    <t>SQL → Python Pipeline</t>
  </si>
  <si>
    <t>110/100 ✅</t>
  </si>
  <si>
    <t>91</t>
  </si>
  <si>
    <t>Python → BI Integration</t>
  </si>
  <si>
    <t>Complete ✅</t>
  </si>
  <si>
    <t>92</t>
  </si>
  <si>
    <t>End-to-End Client Report Pipeline</t>
  </si>
  <si>
    <t>72/80 + 5★</t>
  </si>
  <si>
    <t>93</t>
  </si>
  <si>
    <t>Streamlit Interactive Dashboard</t>
  </si>
  <si>
    <t>80/80 + 10★</t>
  </si>
  <si>
    <t>94</t>
  </si>
  <si>
    <t>Upwork Activation — First 5 Bids GO LIVE</t>
  </si>
  <si>
    <t>→ TODAY</t>
  </si>
  <si>
    <t>Upwork Job Categories — Data Analytics | Market Reference</t>
  </si>
  <si>
    <t>#</t>
  </si>
  <si>
    <t>Job Category</t>
  </si>
  <si>
    <t>Typical Budget</t>
  </si>
  <si>
    <t>Competition</t>
  </si>
  <si>
    <t>Win Rate*</t>
  </si>
  <si>
    <t>Why You Win Here</t>
  </si>
  <si>
    <t>Connects Cost</t>
  </si>
  <si>
    <t>1</t>
  </si>
  <si>
    <t>Excel Dashboard / Automation</t>
  </si>
  <si>
    <t>$50-$300</t>
  </si>
  <si>
    <t>Medium</t>
  </si>
  <si>
    <t>High</t>
  </si>
  <si>
    <t>Excel Month 1 + Power BI Month 4 = credible portfolio proof</t>
  </si>
  <si>
    <t>6</t>
  </si>
  <si>
    <t>2</t>
  </si>
  <si>
    <t>SQL Data Extraction / Report</t>
  </si>
  <si>
    <t>$80-$400</t>
  </si>
  <si>
    <t>Month 2 SQL portfolio + 119/120 capstone score signals depth</t>
  </si>
  <si>
    <t>3</t>
  </si>
  <si>
    <t>Python EDA / Data Cleaning</t>
  </si>
  <si>
    <t>$100-$500</t>
  </si>
  <si>
    <t>Medium-High</t>
  </si>
  <si>
    <t>ShopEase + RetailPulse notebooks show real deliverables, not toy projects</t>
  </si>
  <si>
    <t>8</t>
  </si>
  <si>
    <t>4</t>
  </si>
  <si>
    <t>Power BI Dashboard Build</t>
  </si>
  <si>
    <t>$150-$600</t>
  </si>
  <si>
    <t>Low-Medium</t>
  </si>
  <si>
    <t>Month 4 TechMart dashboards are portfolio-ready; few analysts show PBIX files</t>
  </si>
  <si>
    <t>5</t>
  </si>
  <si>
    <t>Tableau Dashboard Build</t>
  </si>
  <si>
    <t>Tableau Public profile live — client can verify before hiring</t>
  </si>
  <si>
    <t>End-to-End Analytics Pipeline</t>
  </si>
  <si>
    <t>$300-$1000</t>
  </si>
  <si>
    <t>Low</t>
  </si>
  <si>
    <t>Day 92 pipeline = rare SQL+Python+BI combination in one workflow</t>
  </si>
  <si>
    <t>12</t>
  </si>
  <si>
    <t>7</t>
  </si>
  <si>
    <t>Streamlit App / Data App</t>
  </si>
  <si>
    <t>$200-$800</t>
  </si>
  <si>
    <t>Very Low</t>
  </si>
  <si>
    <t>Day 93 Streamlit dashboard = differentiated — most analysts cannot deploy apps</t>
  </si>
  <si>
    <t>10</t>
  </si>
  <si>
    <t>Data Entry / Cleaning (Avoid)</t>
  </si>
  <si>
    <t>$5-$30</t>
  </si>
  <si>
    <t>Very High</t>
  </si>
  <si>
    <t>N/A</t>
  </si>
  <si>
    <t>DO NOT BID — commoditised, low margin, no portfolio value</t>
  </si>
  <si>
    <t>* Win Rate = relative to your current profile stage (new account, 0 JSS). Improves after first 3 completed jobs.</t>
  </si>
  <si>
    <t>Day 94 — Practice Guide: Upwork Activation Checklist (80 pts)</t>
  </si>
  <si>
    <t>SECTION A — Profile Optimisation (20 pts)</t>
  </si>
  <si>
    <t>Task</t>
  </si>
  <si>
    <t>What to Write / Do</t>
  </si>
  <si>
    <t>Pts</t>
  </si>
  <si>
    <t>Done?</t>
  </si>
  <si>
    <t>A1</t>
  </si>
  <si>
    <t>Headline (160 chars max)</t>
  </si>
  <si>
    <t>Write: "Data Analyst | Python - SQL - Power BI - Tableau | EDA, Dashboards &amp; Automated Reports"
Use all 5 tools. No "Freelancer". No "Aspiring".</t>
  </si>
  <si>
    <t>A2</t>
  </si>
  <si>
    <t>Professional Overview (first 2 lines = hook)</t>
  </si>
  <si>
    <t>Line 1: Open with client outcome — e.g. "I turn messy datasets into clear dashboards that non-technical stakeholders can act on."
Line 2: Name your stack — Python, SQL, Power BI, Tableau, Streamlit.</t>
  </si>
  <si>
    <t>A3</t>
  </si>
  <si>
    <t>Portfolio — add 3 items</t>
  </si>
  <si>
    <t>1. TechMart Power BI Dashboard (upload .pbix screenshot)
2. TechMart Tableau Public (paste the URL from Day 83)
3. Day 93 Streamlit App (Streamlit Community Cloud URL)</t>
  </si>
  <si>
    <t>A4</t>
  </si>
  <si>
    <t>Skills Tags — add all 8</t>
  </si>
  <si>
    <t>Data Analysis, Python, SQL, Microsoft Power BI, Tableau, Pandas, Data Visualization, Business Intelligence</t>
  </si>
  <si>
    <t>A5</t>
  </si>
  <si>
    <t>Hourly Rate — set correctly</t>
  </si>
  <si>
    <t>Set 800-1200 INR/hr (~$9-$14/hr). Not lower — signals low quality. Not higher — no JSS yet to justify.</t>
  </si>
  <si>
    <t>SECTION B — Job Targeting (15 pts)</t>
  </si>
  <si>
    <t>What to Do</t>
  </si>
  <si>
    <t>B1</t>
  </si>
  <si>
    <t>Search &amp; shortlist 10 jobs</t>
  </si>
  <si>
    <t>Filters: Budget &gt;= $50, Posted &lt;= 3 days, Payment Verified
Keywords: "Power BI dashboard", "Python data analysis", "Excel automation", "Tableau report"
Record 5 finalists in Sheet 4_Bid_Log.</t>
  </si>
  <si>
    <t>B2</t>
  </si>
  <si>
    <t>Score each job with the Bid Decision Matrix (Sheet 3)</t>
  </si>
  <si>
    <t>Apply the 5-criterion matrix to each job before bidding. Skip any job scoring below 12/20.</t>
  </si>
  <si>
    <t>B3</t>
  </si>
  <si>
    <t>Allocate Connects budget</t>
  </si>
  <si>
    <t>You start with 80 free Connects. Each proposal costs 6-12 Connects.
Plan: 5 bids x avg 8 Connects = 40 Connects. Keep 40 in reserve.</t>
  </si>
  <si>
    <t>SECTION C — Write First 5 Proposals (30 pts)</t>
  </si>
  <si>
    <t>Requirement</t>
  </si>
  <si>
    <t>C1</t>
  </si>
  <si>
    <t>Proposal 1 — Excel/Power BI dashboard job</t>
  </si>
  <si>
    <t>Write using Template 1 (Sheet 3). Must include: hook sentence, 1 portfolio reference, 1 clarifying question, CTA.
Paste your draft in Sheet 4_Bid_Log row 1.</t>
  </si>
  <si>
    <t>C2</t>
  </si>
  <si>
    <t>Proposal 2 — Python/SQL data job</t>
  </si>
  <si>
    <t>Write using Template 2. Must include: specific technical approach in 1 sentence, timeline, 1 relevant past project.</t>
  </si>
  <si>
    <t>C3</t>
  </si>
  <si>
    <t>Proposal 3 — Tableau/visualisation job</t>
  </si>
  <si>
    <t>Write using Template 3. Include Tableau Public URL as inline proof. Under 200 words.</t>
  </si>
  <si>
    <t>C4</t>
  </si>
  <si>
    <t>Proposal 4 — Pipeline/automation job</t>
  </si>
  <si>
    <t>Write using Template 4. This is your highest-value pitch. Mention SQL-&gt;Python-&gt;BI pipeline. 150-220 words.</t>
  </si>
  <si>
    <t>C5</t>
  </si>
  <si>
    <t>Proposal 5 — Your choice (any category &gt;= $100)</t>
  </si>
  <si>
    <t>Free-form. Apply all NRA principles. Hook -&gt; Proof -&gt; Approach -&gt; Question -&gt; CTA.</t>
  </si>
  <si>
    <t>SECTION D — Submission Checklist (15 pts)</t>
  </si>
  <si>
    <t>Check</t>
  </si>
  <si>
    <t>D1</t>
  </si>
  <si>
    <t>All 5 proposals submitted on Upwork</t>
  </si>
  <si>
    <t>Paste Job URLs in Sheet 4</t>
  </si>
  <si>
    <t>D2</t>
  </si>
  <si>
    <t>Bid Log complete — all 5 rows filled in Sheet 4</t>
  </si>
  <si>
    <t>Score, budget, connects used, date sent</t>
  </si>
  <si>
    <t>D3</t>
  </si>
  <si>
    <t>Profile screenshot taken after going live</t>
  </si>
  <si>
    <t>Attach in your submission</t>
  </si>
  <si>
    <t>TOTAL: 80 pts + 10 Bonus (see Sheet 5 for full rubric)</t>
  </si>
  <si>
    <t>Day 94 — Concept Notes: Proposal Structure + 4 Fill-in Templates</t>
  </si>
  <si>
    <t>5-Part Proposal Anatomy (applies to all templates)</t>
  </si>
  <si>
    <t>Part</t>
  </si>
  <si>
    <t>Name</t>
  </si>
  <si>
    <t>Purpose + How to Write It</t>
  </si>
  <si>
    <t>Word Budget</t>
  </si>
  <si>
    <t>Hook</t>
  </si>
  <si>
    <t>First sentence = show you read the brief. Reference their specific problem.
BAD: "Hello, I am a data analyst with 3 years of experience."
GOOD: "You need a Power BI dashboard that updates daily and lets your team filter by region - I built exactly that for an e-commerce client."</t>
  </si>
  <si>
    <t>15-25 words</t>
  </si>
  <si>
    <t>Proof</t>
  </si>
  <si>
    <t>ONE portfolio item directly relevant to their job. Include a URL or say "I can share the file."
Rule: Do not list all skills. Show the ONE thing most relevant to THIS job.</t>
  </si>
  <si>
    <t>20-30 words</t>
  </si>
  <si>
    <t>Approach</t>
  </si>
  <si>
    <t>In 1-2 sentences, tell them HOW you would do their specific job.
GOOD: "I would start by cleaning the raw CSV in Python, build a star schema for Power BI, then deliver an interactive dashboard with a date-range slicer."
This shows competence without overpromising.</t>
  </si>
  <si>
    <t>30-50 words</t>
  </si>
  <si>
    <t>Clarifying Question</t>
  </si>
  <si>
    <t>Ask ONE smart question. This signals professionalism and starts a conversation (increases win rate).
GOOD: "Is the data currently in Excel/CSV or does it need to be pulled from a database?"
BAD: "Can you share more details?"</t>
  </si>
  <si>
    <t>10-20 words</t>
  </si>
  <si>
    <t>CTA</t>
  </si>
  <si>
    <t>Close with a low-friction invitation. Do not ask for the contract - ask for a chat.
GOOD: "Happy to share a relevant sample dashboard before you decide."
GOOD: "Available for a 15-min call if that helps."</t>
  </si>
  <si>
    <t>10-15 words</t>
  </si>
  <si>
    <t>Bid Decision Matrix — Score Each Job Before Spending Connects</t>
  </si>
  <si>
    <t>Criterion</t>
  </si>
  <si>
    <t>How to Score (0-4 pts each, max 20)</t>
  </si>
  <si>
    <t>Red Flag (skip job)</t>
  </si>
  <si>
    <t>M1</t>
  </si>
  <si>
    <t>Payment Verified</t>
  </si>
  <si>
    <t>4 = verified. 0 = unverified. NEVER bid on unverified.</t>
  </si>
  <si>
    <t>Unverified -&gt; skip</t>
  </si>
  <si>
    <t>M2</t>
  </si>
  <si>
    <t>Budget vs your rate</t>
  </si>
  <si>
    <t>4 = budget &gt;= $100. 2 = $50-$99. 0 = below $50.</t>
  </si>
  <si>
    <t>Below $50 -&gt; skip</t>
  </si>
  <si>
    <t>M3</t>
  </si>
  <si>
    <t>Job specificity</t>
  </si>
  <si>
    <t>4 = detailed brief with clear deliverable. 2 = vague. 0 = one-line post.</t>
  </si>
  <si>
    <t>One-line post -&gt; skip</t>
  </si>
  <si>
    <t>M4</t>
  </si>
  <si>
    <t>Portfolio match</t>
  </si>
  <si>
    <t>4 = exact match in portfolio. 2 = partial match. 0 = no match.</t>
  </si>
  <si>
    <t>No match -&gt; weak bid</t>
  </si>
  <si>
    <t>M5</t>
  </si>
  <si>
    <t>Competition level</t>
  </si>
  <si>
    <t>4 = &lt; 5 proposals. 3 = 5-10. 2 = 11-20. 0 = &gt; 20 proposals.</t>
  </si>
  <si>
    <t>Over 20 proposals -&gt; skip</t>
  </si>
  <si>
    <t>Threshold: Score &gt;= 14/20 -&gt; bid.  Score 10-13 -&gt; bid only if connects budget allows.  Score &lt; 10 -&gt; skip.</t>
  </si>
  <si>
    <t>TEMPLATE 1 — Excel / Power BI Dashboard Job (fill in [ ] fields)</t>
  </si>
  <si>
    <t>Fill in [ ] fields:</t>
  </si>
  <si>
    <t>[HOOK] You need a [daily/weekly/monthly] [Excel/Power BI] dashboard showing [metric 1] and [metric 2] — I built this exact setup for an Indian e-commerce dataset.
[PROOF] My TechMart Power BI dashboard uses a star-schema model with slicers for region, category, and date, built on a 150-row fact table linked to 4 dimension tables. [PASTE PORTFOLIO URL or 'I can share the .pbix file']
[APPROACH] I would start by reviewing your data structure, set up the model in Power Query, then build the visuals with your required filters. Timeline: 2-3 days for a clean dataset, 4-5 days if cleaning is needed.
[QUESTION] Is your data currently in Excel, CSV, or connected to a database?
[CTA] Happy to walk you through a sample file before you decide.</t>
  </si>
  <si>
    <t>TEMPLATE 2 — Python / SQL Data Analysis Job</t>
  </si>
  <si>
    <t>[HOOK] You need [cleaned dataset / EDA report / SQL extraction] from [data type] — I can deliver this with a fully commented Python/SQL script you can re-run.
[PROOF] My RetailPulse EDA notebook (GitHub: deepanshu0110) handles missing values, outlier detection, and visual summary charts. My SQL capstone scored 119/120 on complex JOIN + window function queries.
[APPROACH] I would use Python (pandas) for cleaning and analysis, and deliver a Jupyter notebook with markdown explanations and an executive summary in Number -&gt; Reason -&gt; Action format, ready to share with stakeholders.
[QUESTION] Do you need just the cleaned data, or a full narrative report with charts?
[CTA] Available for a quick call — or I can share a sample notebook first.</t>
  </si>
  <si>
    <t>TEMPLATE 3 — Tableau / Visualisation Job (has live URL)</t>
  </si>
  <si>
    <t>[HOOK] You need a Tableau dashboard that [specific outcome from brief] — I have published a live version of similar work you can view right now.
[PROOF] TechMart India Sales Analytics (Tableau Public): https://public.tableau.com/app/profile/deepanshu.garg8585/viz/TechMart-India-Sales-Story/TechMartIndiaSalesStory — features calculated fields, KPI summary, and geographic breakdown.
[APPROACH] I would connect Tableau to your data source, build calculated fields for [KPI 1] and [KPI 2], and design the layout with your brand colours. Delivery: published Tableau Public link + .twbx file.
[QUESTION] Do you have specific KPIs already defined, or would you like me to suggest a framework based on your data?
[CTA] You can evaluate my design style from the live link above before deciding.</t>
  </si>
  <si>
    <t>TEMPLATE 4 — End-to-End Pipeline / Automation Job (HIGH VALUE)</t>
  </si>
  <si>
    <t>[HOOK] You need [automated reports / data pipeline / scheduled extraction] — most analysts do one piece; I handle the full SQL -&gt; Python -&gt; BI stack.
[PROOF] I recently built an end-to-end pipeline: SQL extraction -&gt; Python cleaning and analysis -&gt; Power BI dashboard, all connected so the dashboard updates when the source data changes. GitHub: deepanshu0110.
[APPROACH] For your project: (1) extract and clean data using Python/SQL, (2) build the transformation logic in a reusable script, (3) connect to your BI tool with scheduled refresh. You receive source code, documentation, and a working deployment — not just a one-off file.
[QUESTION] Is the goal a one-time report or a recurring automated pipeline?
[CTA] This is my strongest stack — happy to discuss scope on a quick call.</t>
  </si>
  <si>
    <t>Day 94 — Bid Log: Record Your First 5 Proposals Here</t>
  </si>
  <si>
    <t>Instructions: Fill every cell. This is your Week 4 portfolio evidence and submission.</t>
  </si>
  <si>
    <t>Job Title</t>
  </si>
  <si>
    <t>Job URL</t>
  </si>
  <si>
    <t>Budget ($)</t>
  </si>
  <si>
    <t>Category</t>
  </si>
  <si>
    <t>Matrix
Score (/20)</t>
  </si>
  <si>
    <t>Connects
Spent</t>
  </si>
  <si>
    <t>Template
Used</t>
  </si>
  <si>
    <t>Your Proposal (paste full text)</t>
  </si>
  <si>
    <t>Clarifying Question Asked</t>
  </si>
  <si>
    <t>Date Sent</t>
  </si>
  <si>
    <t>Summary</t>
  </si>
  <si>
    <t>Total Connects Spent:</t>
  </si>
  <si>
    <t>Connects Remaining:</t>
  </si>
  <si>
    <t>Day 94 — Scoring Rubric | 80 pts + 10 Bonus</t>
  </si>
  <si>
    <t>Section</t>
  </si>
  <si>
    <t>Criteria</t>
  </si>
  <si>
    <t>Deduction Trigger</t>
  </si>
  <si>
    <t>Score</t>
  </si>
  <si>
    <t>A</t>
  </si>
  <si>
    <t>A1 Headline</t>
  </si>
  <si>
    <t>Uses all 5 tools, no 'aspiring', &lt;=160 chars</t>
  </si>
  <si>
    <t>Missing any tool: -1 each. 'Aspiring' present: -2.</t>
  </si>
  <si>
    <t>A2 Overview Hook</t>
  </si>
  <si>
    <t>First 2 lines state client outcome + tech stack</t>
  </si>
  <si>
    <t>Opens with 'I am...': -3. Lists experience years only: -2.</t>
  </si>
  <si>
    <t>A3 Portfolio (3 items)</t>
  </si>
  <si>
    <t>3 distinct portfolio items with URLs or file attachments</t>
  </si>
  <si>
    <t>Missing item: -2 each. No URL/proof for item: -1 each.</t>
  </si>
  <si>
    <t>A4 Skills Tags (8)</t>
  </si>
  <si>
    <t>All 8 required tags present</t>
  </si>
  <si>
    <t>Missing tag: -0.5 each.</t>
  </si>
  <si>
    <t>A5 Hourly Rate</t>
  </si>
  <si>
    <t>800-1200 INR/hr range set</t>
  </si>
  <si>
    <t>Below 800 INR: -2 (signals low quality to client).</t>
  </si>
  <si>
    <t>B</t>
  </si>
  <si>
    <t>B1 10 jobs shortlisted</t>
  </si>
  <si>
    <t>5 finalists recorded in Sheet 4_Bid_Log</t>
  </si>
  <si>
    <t>Fewer than 5 in log: -1 per missing row.</t>
  </si>
  <si>
    <t>B2 Matrix applied</t>
  </si>
  <si>
    <t>All 5 jobs have a Matrix Score in the Bid Log</t>
  </si>
  <si>
    <t>Missing score: -1 per row. Score column fully empty: -3.</t>
  </si>
  <si>
    <t>B3 Connects plan</t>
  </si>
  <si>
    <t>Connects column filled; total &lt;= 40 for 5 bids</t>
  </si>
  <si>
    <t>Connects column empty: -3. Total over 40: -2.</t>
  </si>
  <si>
    <t>C</t>
  </si>
  <si>
    <t>C1 Power BI proposal</t>
  </si>
  <si>
    <t>5-part structure, portfolio URL present, &lt;=220 words</t>
  </si>
  <si>
    <t>Missing structure part: -1 each. No portfolio reference: -2.</t>
  </si>
  <si>
    <t>C2 Python/SQL proposal</t>
  </si>
  <si>
    <t>Technical approach in 1 sentence, timeline stated</t>
  </si>
  <si>
    <t>No timeline: -2. Generic 'I can do this': -3.</t>
  </si>
  <si>
    <t>C3 Tableau proposal</t>
  </si>
  <si>
    <t>Tableau Public URL embedded, &lt;=200 words</t>
  </si>
  <si>
    <t>No URL: -3. Over 200 words: -1.</t>
  </si>
  <si>
    <t>C4 Pipeline proposal</t>
  </si>
  <si>
    <t>Mentions SQL-&gt;Python-&gt;BI, scope question asked</t>
  </si>
  <si>
    <t>No stack mention: -3. No clarifying question: -2.</t>
  </si>
  <si>
    <t>C5 Free-choice proposal</t>
  </si>
  <si>
    <t>Hook -&gt; Proof -&gt; Approach -&gt; Question -&gt; CTA present</t>
  </si>
  <si>
    <t>Missing any part: -1 each. Opens with 'Hello': -1.</t>
  </si>
  <si>
    <t>D</t>
  </si>
  <si>
    <t>D1 All 5 bids submitted</t>
  </si>
  <si>
    <t>Job URLs in Bid Log, all 5 rows</t>
  </si>
  <si>
    <t>Missing bid URL: -1 each.</t>
  </si>
  <si>
    <t>D2 Bid Log complete</t>
  </si>
  <si>
    <t>All 11 columns filled for each of 5 rows</t>
  </si>
  <si>
    <t>Incomplete row: -1 each row.</t>
  </si>
  <si>
    <t>D3 Profile screenshot</t>
  </si>
  <si>
    <t>Screenshot attached in submission</t>
  </si>
  <si>
    <t>Not attached: -5.</t>
  </si>
  <si>
    <t>BONUS</t>
  </si>
  <si>
    <t>Personalisation (+2 per proposal)</t>
  </si>
  <si>
    <t>Proposal references a specific detail from the job post (client industry, named deliverable, their data format)</t>
  </si>
  <si>
    <t>Generic proposals with no job-specific detail: 0 bonus.</t>
  </si>
  <si>
    <t>TOTAL</t>
  </si>
  <si>
    <t>Max 80 pts + 10 Bonus</t>
  </si>
  <si>
    <t>Interview / Client Framing — Day 94</t>
  </si>
  <si>
    <t>Q: "How do you approach finding and winning freelance data analytics projects?"
Strong Answer:
"I score each job against five criteria before spending Connects: payment verification, budget, brief quality, portfolio match, and competition level. I only bid on jobs where I score 14 or more out of 20 — this keeps my proposal quality high and win rate defensible.
My proposals follow a five-part structure: a hook that shows I read the brief, one specific portfolio proof, a technical approach sentence, a clarifying question, and a CTA. I treat each proposal like a client-facing document.
In terms of stack, I bid on Power BI/Tableau dashboards, Python EDA, SQL pipelines, and end-to-end automation projects — the four categories where my portfolio gives real proof, not just claims."
Why this answer works:
  - Shows a system, not luck — clients and interviewers trust process over charisma
  - Quantifies the selection threshold (14/20) — signals analytical thinking applied to sales
  - Connects portfolio proof to proposal strategy — shows you understand the client evaluation criteria</t>
  </si>
  <si>
    <t>Month 5 Running Scorecard</t>
  </si>
  <si>
    <t>Topic</t>
  </si>
  <si>
    <t>Bonus</t>
  </si>
  <si>
    <t>Key Deduction</t>
  </si>
  <si>
    <t>Fix Applied?</t>
  </si>
  <si>
    <t>SQL -&gt; Python Pipeline</t>
  </si>
  <si>
    <t>110/100</t>
  </si>
  <si>
    <t>Yes</t>
  </si>
  <si>
    <t>—</t>
  </si>
  <si>
    <t>Python -&gt; BI Integration</t>
  </si>
  <si>
    <t>Complete</t>
  </si>
  <si>
    <t>5 stars</t>
  </si>
  <si>
    <t>Pre-filter miss + region attribution</t>
  </si>
  <si>
    <t>Print -&gt; Read -&gt; Write</t>
  </si>
  <si>
    <t>80/80</t>
  </si>
  <si>
    <t>10 stars</t>
  </si>
  <si>
    <t>None — perfect score</t>
  </si>
  <si>
    <t>Applied</t>
  </si>
  <si>
    <t>Upwork Activation — First 5 Bids</t>
  </si>
  <si>
    <t>Pending</t>
  </si>
  <si>
    <t>Business Intelligence Dashboard Creation</t>
  </si>
  <si>
    <t>https://www.upwork.com/jobs/~0220545569118434090</t>
  </si>
  <si>
    <t>Power BI Dashboard</t>
  </si>
  <si>
    <t>Template 1</t>
  </si>
  <si>
    <t>Are your data sources currently in Excel/CSV, or do they live in a database or cloud tool?</t>
  </si>
  <si>
    <t>You need a comprehensive BI dashboard that gives you a clear view of your entire operation — I've built exactly this for a retail dataset spanning 150 transactions across 4 regions and 6 product categories.
My recent work includes a TechMart India Sales Dashboard in Power BI with KPI cards, region filters, drill-through pages, and a date slicer — plus a parallel Tableau version published live. Both connect to a structured data model built from raw Excel files, which sounds similar to what you're describing.
For your project, I'd start by understanding your data sources and key metrics, then build a clean data model, and deliver an interactive dashboard where you can filter by any dimension that matters to your business. Timeline: 3–5 days depending on data complexity.
One question: are your data sources currently in Excel/CSV, or do they live in a database or cloud tool?
Happy to share a sample dashboard before you decide.</t>
  </si>
  <si>
    <t>79/80</t>
  </si>
  <si>
    <t>Excel Financial &amp; Operations Tracking System</t>
  </si>
  <si>
    <t>Excel / Financial Modeling</t>
  </si>
  <si>
    <t>Custom</t>
  </si>
  <si>
    <t>Hi,
I've built structured Excel operational systems for service businesses — one master input table driving automated summaries, cash tracking, and dashboards, with zero manual copy-paste. That's exactly what you've described.
A few things I noticed in your spec that I'd handle specifically:
• Transport Rate Matrix — I'd use a named Table + XLOOKUP so adding a new city is one row, no formula edits required
• Formula protection with manual override — sheet-level protection with specific unlocked cells, fully Mac-compatible
• Cash Holder tracking — dropdown-driven, editable per row, no macros
• Settlement filtering — structured Table + slicers, no VBA needed
For Milestone 1, I'd deliver a clean working prototype: Settings tab fully configured, Month Template operational, filtering and settlement logic tested. You validate the workflow before we expand to summaries and dashboard.
I've answered your four questions:
1. Yes — operational Excel systems with master tables and automated summaries
2. Transport matrix via named Table + XLOOKUP, one-row-per-city structure
3. Sheet protection with designated unlocked cells — no macros, full Mac compatibility
4. Yes — clean printable layouts with print areas, page breaks, professional formatting
Happy to start with Milestone 1 and grow from there.
Deepanshu</t>
  </si>
  <si>
    <t>ETL Pipeline + Power BI Dashboard</t>
  </si>
  <si>
    <t>ETL Pipeline / Python</t>
  </si>
  <si>
    <t>Hi,
I've built exactly this stack — Python ETL pipelines that extract from APIs/files, clean and load into SQLite/PostgreSQL, and feed directly into Power BI dashboards.
Recent example: a pipeline that ingests 150-row transactional data, runs automated QA (format validation, anomaly flagging, duplicate removal), loads into a structured SQL database, and exports a Power BI-ready Excel layer with FactSales and dimension tables — all triggered from a single function call.
For your project specifically:
• ETL — Python (pandas, SQLAlchemy), parameterised SQL queries, try/except error handling
• Database — structured schema with clean separation between raw and processed layers
• Power BI — star schema input, KPI cards, drill-through, slicer-based filtering
• Documentation — setup README + inline code comments, runnable by non-technical staff
One question before I confirm scope: which APIs or file formats are the primary data sources? The answer determines whether this is a 3-day or 7-day build — and I want to give you an accurate delivery timeline, not a guess.
Deepanshu</t>
  </si>
  <si>
    <t>Hi,
You said it well — this isn't about making charts look nice. It's about making data useful for decisions. That's exactly how I approach Power BI work.
Recent example: I built a TechMart India sales dashboard in Power BI with RLS (role-level security), drill-through pages, DAX measures for YoY comparison and running totals, and a parallel Tableau version published live — all driven by a star schema I structured from raw Excel files using Power Query.
For your project specifically:
• SQL — I write queries to pull, filter, and prepare data before it hits Power BI
• DAX — calculated measures, time intelligence, KPI logic
• Power Query — data cleaning and transformation at the model layer
• Dashboard design — executive-ready layouts with traffic-light indicators and drill-through
I also think about report structure before building — what decisions does this dashboard need to support, and what's the simplest layout that answers those questions.
One question: what's the primary data source — Excel files, a database, or something else? That determines how we structure the first dashboard together.
Deepanshu</t>
  </si>
  <si>
    <t>Hi,
Answering your three questions directly:
1. Tools: Python (requests + BeautifulSoup for extraction, pandas for cleaning and categorisation), Excel for the final deliverable. I'd scrape product names, categories, prices, review counts, and ranking position from Takealot, Absolute Pets, and Pet Heaven into a structured dataset.
2. Best-selling indicators: No SA ecommerce site publishes true sales data, so I'd use proxy signals — review count (volume = demand), review recency, search ranking position, and cross-store presence (a product appearing on 3+ stores signals category validation). I'd weight these into a visibility score per product.
3. Approach: Phase 1 — extract and clean raw product data per store. Phase 2 — deduplicate and group into categories (food, toys, beds, grooming, accessories). Phase 3 — cross-reference for multi-store products, apply visibility scoring, flag pricing ranges and category gaps. Deliverable: clean Excel dataset + categorised product list + 1-page insight summary with sourcing recommendations.
Final output will be structured for immediate use — no cleanup needed on your end.
Deepanshu</t>
  </si>
  <si>
    <t>Which APIs or file formats are the primary data sources?</t>
  </si>
  <si>
    <t>What's the primary data source — Excel files, a database, or something else?</t>
  </si>
  <si>
    <t>Power BI Dashboard &amp; Business Intelligence Expert</t>
  </si>
  <si>
    <t>Power BI / Business Intelligence</t>
  </si>
  <si>
    <t>Ecommerce Data Analyst — SA Pet Market Research</t>
  </si>
  <si>
    <t>Data Analysis / Web Scraping</t>
  </si>
  <si>
    <t>https://www.upwork.com/nx/proposals/2054917508145041409</t>
  </si>
  <si>
    <t>https://www.upwork.com/nx/proposals/2054915946894819329</t>
  </si>
  <si>
    <t>https://www.upwork.com/nx/proposals/2054817747762835457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</si>
</sst>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rgb="FFFFFFFF"/>
      <name val="Arial"/>
    </font>
    <font>
      <b/>
      <sz val="11"/>
      <color rgb="FFFFFFFF"/>
      <name val="Arial"/>
    </font>
    <font>
      <b/>
      <sz val="10"/>
      <color rgb="FF000000"/>
      <name val="Arial"/>
    </font>
    <font>
      <sz val="10"/>
      <color rgb="FF000000"/>
      <name val="Arial"/>
    </font>
    <font>
      <i/>
      <sz val="10"/>
      <color rgb="FF000000"/>
      <name val="Arial"/>
    </font>
    <font>
      <u/>
      <sz val="11"/>
      <color theme="10"/>
      <name val="Calibri"/>
      <family val="2"/>
      <scheme val="minor"/>
    </font>
  </fonts>
  <fills count="13">
    <fill>
      <patternFill patternType="none"/>
    </fill>
    <fill>
      <patternFill patternType="gray125"/>
    </fill>
    <fill>
      <patternFill patternType="solid">
        <fgColor rgb="FF1F3864"/>
      </patternFill>
    </fill>
    <fill>
      <patternFill patternType="solid">
        <fgColor rgb="FF2F5496"/>
      </patternFill>
    </fill>
    <fill>
      <patternFill patternType="solid">
        <fgColor rgb="FFD6E4F0"/>
      </patternFill>
    </fill>
    <fill>
      <patternFill patternType="solid">
        <fgColor rgb="FFFFFFFF"/>
      </patternFill>
    </fill>
    <fill>
      <patternFill patternType="solid">
        <fgColor rgb="FFFFF2CC"/>
      </patternFill>
    </fill>
    <fill>
      <patternFill patternType="solid">
        <fgColor rgb="FFE2EFDA"/>
      </patternFill>
    </fill>
    <fill>
      <patternFill patternType="solid">
        <fgColor rgb="FFFCE4D6"/>
      </patternFill>
    </fill>
    <fill>
      <patternFill patternType="solid">
        <fgColor rgb="FF2D6A4F"/>
      </patternFill>
    </fill>
    <fill>
      <patternFill patternType="solid">
        <fgColor rgb="FFE8F4FD"/>
      </patternFill>
    </fill>
    <fill>
      <patternFill patternType="solid">
        <fgColor rgb="FFFCE9D9"/>
      </patternFill>
    </fill>
    <fill>
      <patternFill patternType="solid">
        <fgColor rgb="FFEAD1DC"/>
      </patternFill>
    </fill>
  </fills>
  <borders count="7">
    <border>
      <left/>
      <right/>
      <top/>
      <bottom/>
      <diagonal/>
    </border>
    <border>
      <left style="medium">
        <color rgb="FF1F3864"/>
      </left>
      <right style="medium">
        <color rgb="FF1F3864"/>
      </right>
      <top style="medium">
        <color rgb="FF1F3864"/>
      </top>
      <bottom style="medium">
        <color rgb="FF1F3864"/>
      </bottom>
      <diagonal/>
    </border>
    <border>
      <left/>
      <right/>
      <top style="medium">
        <color rgb="FF1F3864"/>
      </top>
      <bottom style="medium">
        <color rgb="FF1F3864"/>
      </bottom>
      <diagonal/>
    </border>
    <border>
      <left/>
      <right style="medium">
        <color rgb="FF1F3864"/>
      </right>
      <top style="medium">
        <color rgb="FF1F3864"/>
      </top>
      <bottom style="medium">
        <color rgb="FF1F3864"/>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3" fillId="4" borderId="4" xfId="0" applyFont="1" applyFill="1" applyBorder="1" applyAlignment="1">
      <alignment horizontal="center" vertical="center"/>
    </xf>
    <xf numFmtId="0" fontId="4" fillId="5" borderId="4" xfId="0" applyFont="1" applyFill="1" applyBorder="1" applyAlignment="1">
      <alignment horizontal="left" vertical="center"/>
    </xf>
    <xf numFmtId="0" fontId="3" fillId="6" borderId="4" xfId="0" applyFont="1" applyFill="1" applyBorder="1" applyAlignment="1">
      <alignment horizontal="left" vertical="center"/>
    </xf>
    <xf numFmtId="0" fontId="4" fillId="7" borderId="4" xfId="0" applyFont="1" applyFill="1" applyBorder="1" applyAlignment="1">
      <alignment horizontal="left" vertical="center"/>
    </xf>
    <xf numFmtId="0" fontId="4" fillId="7" borderId="4" xfId="0" applyFont="1" applyFill="1" applyBorder="1" applyAlignment="1">
      <alignment horizontal="left" vertical="center" wrapText="1"/>
    </xf>
    <xf numFmtId="0" fontId="4" fillId="5" borderId="4" xfId="0" applyFont="1" applyFill="1" applyBorder="1" applyAlignment="1">
      <alignment horizontal="left" vertical="center" wrapText="1"/>
    </xf>
    <xf numFmtId="0" fontId="4" fillId="8" borderId="4" xfId="0" applyFont="1" applyFill="1" applyBorder="1" applyAlignment="1">
      <alignment horizontal="left" vertical="center"/>
    </xf>
    <xf numFmtId="0" fontId="4" fillId="8" borderId="4" xfId="0" applyFont="1" applyFill="1" applyBorder="1" applyAlignment="1">
      <alignment horizontal="left" vertical="center" wrapText="1"/>
    </xf>
    <xf numFmtId="0" fontId="4" fillId="5" borderId="4" xfId="0" applyFont="1" applyFill="1" applyBorder="1" applyAlignment="1">
      <alignment horizontal="center" vertical="center"/>
    </xf>
    <xf numFmtId="0" fontId="4" fillId="6" borderId="4" xfId="0" applyFont="1" applyFill="1" applyBorder="1" applyAlignment="1">
      <alignment horizontal="left" vertical="center"/>
    </xf>
    <xf numFmtId="0" fontId="3" fillId="5" borderId="4" xfId="0" applyFont="1" applyFill="1" applyBorder="1" applyAlignment="1">
      <alignment horizontal="left" vertical="center"/>
    </xf>
    <xf numFmtId="0" fontId="4" fillId="5" borderId="4"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3" fillId="4" borderId="4" xfId="0" applyFont="1" applyFill="1" applyBorder="1" applyAlignment="1">
      <alignment horizontal="left" vertical="center"/>
    </xf>
    <xf numFmtId="0" fontId="3" fillId="4" borderId="4" xfId="0" applyFont="1" applyFill="1" applyBorder="1" applyAlignment="1">
      <alignment horizontal="center" vertical="center" wrapText="1"/>
    </xf>
    <xf numFmtId="0" fontId="3" fillId="4" borderId="4" xfId="0" applyFont="1" applyFill="1" applyBorder="1" applyAlignment="1">
      <alignment horizontal="right" vertical="center"/>
    </xf>
    <xf numFmtId="0" fontId="3" fillId="6" borderId="4" xfId="0" applyFont="1" applyFill="1" applyBorder="1" applyAlignment="1">
      <alignment horizontal="center" vertical="center"/>
    </xf>
    <xf numFmtId="0" fontId="4" fillId="10" borderId="4" xfId="0" applyFont="1" applyFill="1" applyBorder="1" applyAlignment="1">
      <alignment horizontal="left" vertical="center" wrapText="1"/>
    </xf>
    <xf numFmtId="0" fontId="4" fillId="11" borderId="4"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3" fillId="7" borderId="4" xfId="0" applyFont="1" applyFill="1" applyBorder="1" applyAlignment="1">
      <alignment horizontal="center" vertical="center"/>
    </xf>
    <xf numFmtId="0" fontId="6" fillId="5" borderId="4" xfId="1" applyFill="1" applyBorder="1" applyAlignment="1">
      <alignment horizontal="left" vertical="center" wrapText="1"/>
    </xf>
    <xf numFmtId="14" fontId="4" fillId="5" borderId="4" xfId="0" applyNumberFormat="1" applyFont="1" applyFill="1" applyBorder="1" applyAlignment="1">
      <alignment horizontal="left" vertical="center" wrapText="1"/>
    </xf>
    <xf numFmtId="14" fontId="4" fillId="7" borderId="4" xfId="0" applyNumberFormat="1" applyFont="1" applyFill="1" applyBorder="1" applyAlignment="1">
      <alignment horizontal="left" vertical="center" wrapText="1"/>
    </xf>
    <xf numFmtId="0" fontId="5" fillId="6" borderId="4" xfId="0" applyFont="1" applyFill="1" applyBorder="1" applyAlignment="1">
      <alignment horizontal="left" vertical="center" wrapText="1"/>
    </xf>
    <xf numFmtId="0" fontId="0" fillId="0" borderId="5" xfId="0" applyBorder="1"/>
    <xf numFmtId="0" fontId="0" fillId="0" borderId="6" xfId="0" applyBorder="1"/>
    <xf numFmtId="0" fontId="2" fillId="3" borderId="1" xfId="0" applyFont="1" applyFill="1" applyBorder="1" applyAlignment="1">
      <alignment horizontal="center" vertical="center"/>
    </xf>
    <xf numFmtId="0" fontId="0" fillId="0" borderId="2" xfId="0" applyBorder="1"/>
    <xf numFmtId="0" fontId="0" fillId="0" borderId="3" xfId="0" applyBorder="1"/>
    <xf numFmtId="0" fontId="1" fillId="2" borderId="1" xfId="0" applyFont="1" applyFill="1" applyBorder="1" applyAlignment="1">
      <alignment horizontal="center" vertical="center"/>
    </xf>
    <xf numFmtId="0" fontId="3" fillId="6" borderId="4" xfId="0" applyFont="1" applyFill="1" applyBorder="1" applyAlignment="1">
      <alignment horizontal="left" vertical="center"/>
    </xf>
    <xf numFmtId="0" fontId="4" fillId="5" borderId="4" xfId="0" applyFont="1" applyFill="1" applyBorder="1" applyAlignment="1">
      <alignment horizontal="left" vertical="center" wrapText="1"/>
    </xf>
    <xf numFmtId="0" fontId="3" fillId="6" borderId="4" xfId="0" applyFont="1" applyFill="1" applyBorder="1" applyAlignment="1">
      <alignment horizontal="left" vertical="center" wrapText="1"/>
    </xf>
    <xf numFmtId="0" fontId="2" fillId="9" borderId="1" xfId="0" applyFont="1" applyFill="1" applyBorder="1" applyAlignment="1">
      <alignment horizontal="center" vertical="center"/>
    </xf>
    <xf numFmtId="0" fontId="2" fillId="2" borderId="1" xfId="0" applyFont="1" applyFill="1" applyBorder="1" applyAlignment="1">
      <alignment horizontal="center" vertical="center"/>
    </xf>
    <xf numFmtId="0" fontId="6" fillId="7" borderId="4" xfId="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www.upwork.com/nx/proposals/2054915946894819329" TargetMode="External"/><Relationship Id="rId2" Type="http://schemas.openxmlformats.org/officeDocument/2006/relationships/hyperlink" Target="https://www.upwork.com/nx/proposals/2054917508145041409" TargetMode="External"/><Relationship Id="rId1" Type="http://schemas.openxmlformats.org/officeDocument/2006/relationships/hyperlink" Target="https://www.upwork.com/jobs/~0220545569118434090" TargetMode="External"/><Relationship Id="rId5" Type="http://schemas.openxmlformats.org/officeDocument/2006/relationships/hyperlink" Target="https://www.upwork.com/nx/proposals/2054817747762835457" TargetMode="External"/><Relationship Id="rId4" Type="http://schemas.openxmlformats.org/officeDocument/2006/relationships/hyperlink" Target="https://www.upwork.com/nx/proposals/20549159468948193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opLeftCell="A10" workbookViewId="0">
      <selection activeCell="F18" sqref="F18"/>
    </sheetView>
  </sheetViews>
  <sheetFormatPr defaultRowHeight="14.4" x14ac:dyDescent="0.3"/>
  <cols>
    <col min="1" max="1" width="6" customWidth="1"/>
    <col min="2" max="2" width="26" customWidth="1"/>
    <col min="3" max="3" width="16" customWidth="1"/>
    <col min="4" max="5" width="14" customWidth="1"/>
    <col min="6" max="6" width="42" customWidth="1"/>
    <col min="7" max="7" width="18" customWidth="1"/>
  </cols>
  <sheetData>
    <row r="1" spans="1:7" ht="30" customHeight="1" x14ac:dyDescent="0.3">
      <c r="A1" s="31" t="s">
        <v>0</v>
      </c>
      <c r="B1" s="29"/>
      <c r="C1" s="29"/>
      <c r="D1" s="29"/>
      <c r="E1" s="29"/>
      <c r="F1" s="29"/>
      <c r="G1" s="30"/>
    </row>
    <row r="3" spans="1:7" ht="22.05" customHeight="1" x14ac:dyDescent="0.3">
      <c r="A3" s="28" t="s">
        <v>1</v>
      </c>
      <c r="B3" s="29"/>
      <c r="C3" s="29"/>
      <c r="D3" s="29"/>
      <c r="E3" s="29"/>
      <c r="F3" s="29"/>
      <c r="G3" s="30"/>
    </row>
    <row r="4" spans="1:7" x14ac:dyDescent="0.3">
      <c r="B4" s="1" t="s">
        <v>2</v>
      </c>
      <c r="C4" s="1" t="s">
        <v>3</v>
      </c>
      <c r="D4" s="1" t="s">
        <v>4</v>
      </c>
    </row>
    <row r="5" spans="1:7" x14ac:dyDescent="0.3">
      <c r="B5" s="2" t="s">
        <v>5</v>
      </c>
      <c r="C5" s="2" t="s">
        <v>6</v>
      </c>
      <c r="D5" s="2" t="s">
        <v>7</v>
      </c>
    </row>
    <row r="6" spans="1:7" x14ac:dyDescent="0.3">
      <c r="B6" s="2" t="s">
        <v>8</v>
      </c>
      <c r="C6" s="2" t="s">
        <v>9</v>
      </c>
      <c r="D6" s="2" t="s">
        <v>10</v>
      </c>
    </row>
    <row r="7" spans="1:7" x14ac:dyDescent="0.3">
      <c r="B7" s="2" t="s">
        <v>11</v>
      </c>
      <c r="C7" s="2" t="s">
        <v>12</v>
      </c>
      <c r="D7" s="2" t="s">
        <v>13</v>
      </c>
    </row>
    <row r="8" spans="1:7" x14ac:dyDescent="0.3">
      <c r="B8" s="2" t="s">
        <v>14</v>
      </c>
      <c r="C8" s="2" t="s">
        <v>15</v>
      </c>
      <c r="D8" s="2" t="s">
        <v>16</v>
      </c>
    </row>
    <row r="9" spans="1:7" x14ac:dyDescent="0.3">
      <c r="B9" s="3" t="s">
        <v>17</v>
      </c>
      <c r="C9" s="3" t="s">
        <v>18</v>
      </c>
      <c r="D9" s="3" t="s">
        <v>19</v>
      </c>
    </row>
    <row r="11" spans="1:7" ht="22.05" customHeight="1" x14ac:dyDescent="0.3">
      <c r="A11" s="28" t="s">
        <v>20</v>
      </c>
      <c r="B11" s="29"/>
      <c r="C11" s="29"/>
      <c r="D11" s="29"/>
      <c r="E11" s="29"/>
      <c r="F11" s="29"/>
      <c r="G11" s="30"/>
    </row>
    <row r="12" spans="1:7" x14ac:dyDescent="0.3">
      <c r="A12" s="1" t="s">
        <v>21</v>
      </c>
      <c r="B12" s="1" t="s">
        <v>22</v>
      </c>
      <c r="C12" s="1" t="s">
        <v>23</v>
      </c>
      <c r="D12" s="1" t="s">
        <v>24</v>
      </c>
      <c r="E12" s="1" t="s">
        <v>25</v>
      </c>
      <c r="F12" s="1" t="s">
        <v>26</v>
      </c>
      <c r="G12" s="1" t="s">
        <v>27</v>
      </c>
    </row>
    <row r="13" spans="1:7" ht="31.95" customHeight="1" x14ac:dyDescent="0.3">
      <c r="A13" s="4" t="s">
        <v>28</v>
      </c>
      <c r="B13" s="4" t="s">
        <v>29</v>
      </c>
      <c r="C13" s="4" t="s">
        <v>30</v>
      </c>
      <c r="D13" s="4" t="s">
        <v>31</v>
      </c>
      <c r="E13" s="4" t="s">
        <v>32</v>
      </c>
      <c r="F13" s="5" t="s">
        <v>33</v>
      </c>
      <c r="G13" s="4" t="s">
        <v>34</v>
      </c>
    </row>
    <row r="14" spans="1:7" ht="31.95" customHeight="1" x14ac:dyDescent="0.3">
      <c r="A14" s="4" t="s">
        <v>35</v>
      </c>
      <c r="B14" s="4" t="s">
        <v>36</v>
      </c>
      <c r="C14" s="4" t="s">
        <v>37</v>
      </c>
      <c r="D14" s="4" t="s">
        <v>31</v>
      </c>
      <c r="E14" s="4" t="s">
        <v>32</v>
      </c>
      <c r="F14" s="5" t="s">
        <v>38</v>
      </c>
      <c r="G14" s="4" t="s">
        <v>34</v>
      </c>
    </row>
    <row r="15" spans="1:7" ht="31.95" customHeight="1" x14ac:dyDescent="0.3">
      <c r="A15" s="2" t="s">
        <v>39</v>
      </c>
      <c r="B15" s="2" t="s">
        <v>40</v>
      </c>
      <c r="C15" s="2" t="s">
        <v>41</v>
      </c>
      <c r="D15" s="2" t="s">
        <v>42</v>
      </c>
      <c r="E15" s="2" t="s">
        <v>31</v>
      </c>
      <c r="F15" s="6" t="s">
        <v>43</v>
      </c>
      <c r="G15" s="2" t="s">
        <v>44</v>
      </c>
    </row>
    <row r="16" spans="1:7" ht="31.95" customHeight="1" x14ac:dyDescent="0.3">
      <c r="A16" s="4" t="s">
        <v>45</v>
      </c>
      <c r="B16" s="4" t="s">
        <v>46</v>
      </c>
      <c r="C16" s="4" t="s">
        <v>47</v>
      </c>
      <c r="D16" s="4" t="s">
        <v>48</v>
      </c>
      <c r="E16" s="4" t="s">
        <v>32</v>
      </c>
      <c r="F16" s="5" t="s">
        <v>49</v>
      </c>
      <c r="G16" s="4" t="s">
        <v>44</v>
      </c>
    </row>
    <row r="17" spans="1:7" ht="31.95" customHeight="1" x14ac:dyDescent="0.3">
      <c r="A17" s="4" t="s">
        <v>50</v>
      </c>
      <c r="B17" s="4" t="s">
        <v>51</v>
      </c>
      <c r="C17" s="4" t="s">
        <v>47</v>
      </c>
      <c r="D17" s="4" t="s">
        <v>48</v>
      </c>
      <c r="E17" s="4" t="s">
        <v>32</v>
      </c>
      <c r="F17" s="5" t="s">
        <v>52</v>
      </c>
      <c r="G17" s="4" t="s">
        <v>44</v>
      </c>
    </row>
    <row r="18" spans="1:7" ht="31.95" customHeight="1" x14ac:dyDescent="0.3">
      <c r="A18" s="2" t="s">
        <v>34</v>
      </c>
      <c r="B18" s="2" t="s">
        <v>53</v>
      </c>
      <c r="C18" s="2" t="s">
        <v>54</v>
      </c>
      <c r="D18" s="2" t="s">
        <v>55</v>
      </c>
      <c r="E18" s="2" t="s">
        <v>31</v>
      </c>
      <c r="F18" s="6" t="s">
        <v>56</v>
      </c>
      <c r="G18" s="2" t="s">
        <v>57</v>
      </c>
    </row>
    <row r="19" spans="1:7" ht="31.95" customHeight="1" x14ac:dyDescent="0.3">
      <c r="A19" s="2" t="s">
        <v>58</v>
      </c>
      <c r="B19" s="2" t="s">
        <v>59</v>
      </c>
      <c r="C19" s="2" t="s">
        <v>60</v>
      </c>
      <c r="D19" s="2" t="s">
        <v>61</v>
      </c>
      <c r="E19" s="2" t="s">
        <v>42</v>
      </c>
      <c r="F19" s="6" t="s">
        <v>62</v>
      </c>
      <c r="G19" s="2" t="s">
        <v>63</v>
      </c>
    </row>
    <row r="20" spans="1:7" ht="31.95" customHeight="1" x14ac:dyDescent="0.3">
      <c r="A20" s="7" t="s">
        <v>44</v>
      </c>
      <c r="B20" s="7" t="s">
        <v>64</v>
      </c>
      <c r="C20" s="7" t="s">
        <v>65</v>
      </c>
      <c r="D20" s="7" t="s">
        <v>66</v>
      </c>
      <c r="E20" s="7" t="s">
        <v>67</v>
      </c>
      <c r="F20" s="8" t="s">
        <v>68</v>
      </c>
      <c r="G20" s="7" t="s">
        <v>35</v>
      </c>
    </row>
    <row r="21" spans="1:7" ht="28.05" customHeight="1" x14ac:dyDescent="0.3">
      <c r="B21" s="25" t="s">
        <v>69</v>
      </c>
      <c r="C21" s="26"/>
      <c r="D21" s="26"/>
      <c r="E21" s="26"/>
      <c r="F21" s="26"/>
      <c r="G21" s="27"/>
    </row>
  </sheetData>
  <mergeCells count="4">
    <mergeCell ref="B21:G21"/>
    <mergeCell ref="A3:G3"/>
    <mergeCell ref="A11:G11"/>
    <mergeCell ref="A1:G1"/>
  </mergeCells>
  <pageMargins left="0.75" right="0.75" top="1" bottom="1" header="0.5" footer="0.5"/>
  <ignoredErrors>
    <ignoredError sqref="G13:G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topLeftCell="A22" workbookViewId="0">
      <selection activeCell="C15" sqref="C15"/>
    </sheetView>
  </sheetViews>
  <sheetFormatPr defaultRowHeight="14.4" x14ac:dyDescent="0.3"/>
  <cols>
    <col min="1" max="1" width="6" customWidth="1"/>
    <col min="2" max="2" width="36" customWidth="1"/>
    <col min="3" max="3" width="46" customWidth="1"/>
    <col min="4" max="4" width="8" customWidth="1"/>
    <col min="5" max="5" width="12" customWidth="1"/>
  </cols>
  <sheetData>
    <row r="1" spans="1:5" ht="30" customHeight="1" x14ac:dyDescent="0.3">
      <c r="A1" s="31" t="s">
        <v>70</v>
      </c>
      <c r="B1" s="29"/>
      <c r="C1" s="29"/>
      <c r="D1" s="29"/>
      <c r="E1" s="30"/>
    </row>
    <row r="3" spans="1:5" ht="22.05" customHeight="1" x14ac:dyDescent="0.3">
      <c r="A3" s="28" t="s">
        <v>71</v>
      </c>
      <c r="B3" s="29"/>
      <c r="C3" s="29"/>
      <c r="D3" s="29"/>
      <c r="E3" s="30"/>
    </row>
    <row r="4" spans="1:5" x14ac:dyDescent="0.3">
      <c r="A4" s="1" t="s">
        <v>21</v>
      </c>
      <c r="B4" s="1" t="s">
        <v>72</v>
      </c>
      <c r="C4" s="1" t="s">
        <v>73</v>
      </c>
      <c r="D4" s="1" t="s">
        <v>74</v>
      </c>
      <c r="E4" s="1" t="s">
        <v>75</v>
      </c>
    </row>
    <row r="5" spans="1:5" ht="55.05" customHeight="1" x14ac:dyDescent="0.3">
      <c r="A5" s="9" t="s">
        <v>76</v>
      </c>
      <c r="B5" s="6" t="s">
        <v>77</v>
      </c>
      <c r="C5" s="6" t="s">
        <v>78</v>
      </c>
      <c r="D5" s="9">
        <v>5</v>
      </c>
      <c r="E5" s="4"/>
    </row>
    <row r="6" spans="1:5" ht="105" customHeight="1" x14ac:dyDescent="0.3">
      <c r="A6" s="9" t="s">
        <v>79</v>
      </c>
      <c r="B6" s="6" t="s">
        <v>80</v>
      </c>
      <c r="C6" s="6" t="s">
        <v>81</v>
      </c>
      <c r="D6" s="9">
        <v>5</v>
      </c>
      <c r="E6" s="4"/>
    </row>
    <row r="7" spans="1:5" ht="102" customHeight="1" x14ac:dyDescent="0.3">
      <c r="A7" s="9" t="s">
        <v>82</v>
      </c>
      <c r="B7" s="6" t="s">
        <v>83</v>
      </c>
      <c r="C7" s="6" t="s">
        <v>84</v>
      </c>
      <c r="D7" s="9">
        <v>5</v>
      </c>
      <c r="E7" s="4"/>
    </row>
    <row r="8" spans="1:5" ht="55.05" customHeight="1" x14ac:dyDescent="0.3">
      <c r="A8" s="9" t="s">
        <v>85</v>
      </c>
      <c r="B8" s="6" t="s">
        <v>86</v>
      </c>
      <c r="C8" s="6" t="s">
        <v>87</v>
      </c>
      <c r="D8" s="9">
        <v>3</v>
      </c>
      <c r="E8" s="4"/>
    </row>
    <row r="9" spans="1:5" ht="55.05" customHeight="1" x14ac:dyDescent="0.3">
      <c r="A9" s="9" t="s">
        <v>88</v>
      </c>
      <c r="B9" s="6" t="s">
        <v>89</v>
      </c>
      <c r="C9" s="6" t="s">
        <v>90</v>
      </c>
      <c r="D9" s="9">
        <v>2</v>
      </c>
      <c r="E9" s="4"/>
    </row>
    <row r="11" spans="1:5" ht="22.05" customHeight="1" x14ac:dyDescent="0.3">
      <c r="A11" s="28" t="s">
        <v>91</v>
      </c>
      <c r="B11" s="29"/>
      <c r="C11" s="29"/>
      <c r="D11" s="29"/>
      <c r="E11" s="30"/>
    </row>
    <row r="12" spans="1:5" x14ac:dyDescent="0.3">
      <c r="A12" s="1" t="s">
        <v>21</v>
      </c>
      <c r="B12" s="1" t="s">
        <v>72</v>
      </c>
      <c r="C12" s="1" t="s">
        <v>92</v>
      </c>
      <c r="D12" s="1" t="s">
        <v>74</v>
      </c>
      <c r="E12" s="1" t="s">
        <v>75</v>
      </c>
    </row>
    <row r="13" spans="1:5" ht="52.05" customHeight="1" x14ac:dyDescent="0.3">
      <c r="A13" s="9" t="s">
        <v>93</v>
      </c>
      <c r="B13" s="6" t="s">
        <v>94</v>
      </c>
      <c r="C13" s="6" t="s">
        <v>95</v>
      </c>
      <c r="D13" s="9">
        <v>5</v>
      </c>
      <c r="E13" s="4"/>
    </row>
    <row r="14" spans="1:5" ht="52.05" customHeight="1" x14ac:dyDescent="0.3">
      <c r="A14" s="9" t="s">
        <v>96</v>
      </c>
      <c r="B14" s="6" t="s">
        <v>97</v>
      </c>
      <c r="C14" s="6" t="s">
        <v>98</v>
      </c>
      <c r="D14" s="9">
        <v>5</v>
      </c>
      <c r="E14" s="4"/>
    </row>
    <row r="15" spans="1:5" ht="52.05" customHeight="1" x14ac:dyDescent="0.3">
      <c r="A15" s="9" t="s">
        <v>99</v>
      </c>
      <c r="B15" s="6" t="s">
        <v>100</v>
      </c>
      <c r="C15" s="6" t="s">
        <v>101</v>
      </c>
      <c r="D15" s="9">
        <v>5</v>
      </c>
      <c r="E15" s="4"/>
    </row>
    <row r="17" spans="1:5" ht="22.05" customHeight="1" x14ac:dyDescent="0.3">
      <c r="A17" s="28" t="s">
        <v>102</v>
      </c>
      <c r="B17" s="29"/>
      <c r="C17" s="29"/>
      <c r="D17" s="29"/>
      <c r="E17" s="30"/>
    </row>
    <row r="18" spans="1:5" x14ac:dyDescent="0.3">
      <c r="A18" s="1" t="s">
        <v>21</v>
      </c>
      <c r="B18" s="1" t="s">
        <v>72</v>
      </c>
      <c r="C18" s="1" t="s">
        <v>103</v>
      </c>
      <c r="D18" s="1" t="s">
        <v>74</v>
      </c>
      <c r="E18" s="1" t="s">
        <v>75</v>
      </c>
    </row>
    <row r="19" spans="1:5" ht="55.05" customHeight="1" x14ac:dyDescent="0.3">
      <c r="A19" s="9" t="s">
        <v>104</v>
      </c>
      <c r="B19" s="6" t="s">
        <v>105</v>
      </c>
      <c r="C19" s="6" t="s">
        <v>106</v>
      </c>
      <c r="D19" s="9">
        <v>6</v>
      </c>
      <c r="E19" s="10"/>
    </row>
    <row r="20" spans="1:5" ht="55.05" customHeight="1" x14ac:dyDescent="0.3">
      <c r="A20" s="9" t="s">
        <v>107</v>
      </c>
      <c r="B20" s="6" t="s">
        <v>108</v>
      </c>
      <c r="C20" s="6" t="s">
        <v>109</v>
      </c>
      <c r="D20" s="9">
        <v>6</v>
      </c>
      <c r="E20" s="10"/>
    </row>
    <row r="21" spans="1:5" ht="55.05" customHeight="1" x14ac:dyDescent="0.3">
      <c r="A21" s="9" t="s">
        <v>110</v>
      </c>
      <c r="B21" s="6" t="s">
        <v>111</v>
      </c>
      <c r="C21" s="6" t="s">
        <v>112</v>
      </c>
      <c r="D21" s="9">
        <v>6</v>
      </c>
      <c r="E21" s="10"/>
    </row>
    <row r="22" spans="1:5" ht="55.05" customHeight="1" x14ac:dyDescent="0.3">
      <c r="A22" s="9" t="s">
        <v>113</v>
      </c>
      <c r="B22" s="6" t="s">
        <v>114</v>
      </c>
      <c r="C22" s="6" t="s">
        <v>115</v>
      </c>
      <c r="D22" s="9">
        <v>6</v>
      </c>
      <c r="E22" s="10"/>
    </row>
    <row r="23" spans="1:5" ht="55.05" customHeight="1" x14ac:dyDescent="0.3">
      <c r="A23" s="9" t="s">
        <v>116</v>
      </c>
      <c r="B23" s="6" t="s">
        <v>117</v>
      </c>
      <c r="C23" s="6" t="s">
        <v>118</v>
      </c>
      <c r="D23" s="9">
        <v>6</v>
      </c>
      <c r="E23" s="10"/>
    </row>
    <row r="25" spans="1:5" ht="22.05" customHeight="1" x14ac:dyDescent="0.3">
      <c r="A25" s="28" t="s">
        <v>119</v>
      </c>
      <c r="B25" s="29"/>
      <c r="C25" s="29"/>
      <c r="D25" s="29"/>
      <c r="E25" s="30"/>
    </row>
    <row r="26" spans="1:5" x14ac:dyDescent="0.3">
      <c r="A26" s="1" t="s">
        <v>21</v>
      </c>
      <c r="B26" s="1" t="s">
        <v>72</v>
      </c>
      <c r="C26" s="1" t="s">
        <v>120</v>
      </c>
      <c r="D26" s="1" t="s">
        <v>74</v>
      </c>
      <c r="E26" s="1" t="s">
        <v>75</v>
      </c>
    </row>
    <row r="27" spans="1:5" ht="36" customHeight="1" x14ac:dyDescent="0.3">
      <c r="A27" s="9" t="s">
        <v>121</v>
      </c>
      <c r="B27" s="6" t="s">
        <v>122</v>
      </c>
      <c r="C27" s="6" t="s">
        <v>123</v>
      </c>
      <c r="D27" s="9">
        <v>5</v>
      </c>
      <c r="E27" s="4"/>
    </row>
    <row r="28" spans="1:5" ht="36" customHeight="1" x14ac:dyDescent="0.3">
      <c r="A28" s="9" t="s">
        <v>124</v>
      </c>
      <c r="B28" s="6" t="s">
        <v>125</v>
      </c>
      <c r="C28" s="6" t="s">
        <v>126</v>
      </c>
      <c r="D28" s="9">
        <v>5</v>
      </c>
      <c r="E28" s="4"/>
    </row>
    <row r="29" spans="1:5" ht="36" customHeight="1" x14ac:dyDescent="0.3">
      <c r="A29" s="9" t="s">
        <v>127</v>
      </c>
      <c r="B29" s="6" t="s">
        <v>128</v>
      </c>
      <c r="C29" s="6" t="s">
        <v>129</v>
      </c>
      <c r="D29" s="9">
        <v>5</v>
      </c>
      <c r="E29" s="4"/>
    </row>
    <row r="31" spans="1:5" ht="25.95" customHeight="1" x14ac:dyDescent="0.3">
      <c r="A31" s="32" t="s">
        <v>130</v>
      </c>
      <c r="B31" s="26"/>
      <c r="C31" s="26"/>
      <c r="D31" s="26"/>
      <c r="E31" s="27"/>
    </row>
  </sheetData>
  <mergeCells count="6">
    <mergeCell ref="A25:E25"/>
    <mergeCell ref="A11:E11"/>
    <mergeCell ref="A1:E1"/>
    <mergeCell ref="A31:E31"/>
    <mergeCell ref="A17:E17"/>
    <mergeCell ref="A3:E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
  <sheetViews>
    <sheetView topLeftCell="A28" workbookViewId="0">
      <selection activeCell="B22" sqref="B22:D22"/>
    </sheetView>
  </sheetViews>
  <sheetFormatPr defaultRowHeight="14.4" x14ac:dyDescent="0.3"/>
  <cols>
    <col min="1" max="1" width="18.5546875" customWidth="1"/>
    <col min="2" max="2" width="22" customWidth="1"/>
    <col min="3" max="3" width="64" customWidth="1"/>
    <col min="4" max="4" width="25.109375" customWidth="1"/>
  </cols>
  <sheetData>
    <row r="1" spans="1:4" ht="30" customHeight="1" x14ac:dyDescent="0.3">
      <c r="A1" s="31" t="s">
        <v>131</v>
      </c>
      <c r="B1" s="29"/>
      <c r="C1" s="29"/>
      <c r="D1" s="30"/>
    </row>
    <row r="3" spans="1:4" ht="22.05" customHeight="1" x14ac:dyDescent="0.3">
      <c r="A3" s="28" t="s">
        <v>132</v>
      </c>
      <c r="B3" s="29"/>
      <c r="C3" s="29"/>
      <c r="D3" s="30"/>
    </row>
    <row r="4" spans="1:4" x14ac:dyDescent="0.3">
      <c r="A4" s="1" t="s">
        <v>133</v>
      </c>
      <c r="B4" s="1" t="s">
        <v>134</v>
      </c>
      <c r="C4" s="1" t="s">
        <v>135</v>
      </c>
      <c r="D4" s="1" t="s">
        <v>136</v>
      </c>
    </row>
    <row r="5" spans="1:4" ht="64.95" customHeight="1" x14ac:dyDescent="0.3">
      <c r="A5" s="9" t="s">
        <v>28</v>
      </c>
      <c r="B5" s="11" t="s">
        <v>137</v>
      </c>
      <c r="C5" s="6" t="s">
        <v>138</v>
      </c>
      <c r="D5" s="12" t="s">
        <v>139</v>
      </c>
    </row>
    <row r="6" spans="1:4" ht="64.95" customHeight="1" x14ac:dyDescent="0.3">
      <c r="A6" s="9" t="s">
        <v>35</v>
      </c>
      <c r="B6" s="11" t="s">
        <v>140</v>
      </c>
      <c r="C6" s="6" t="s">
        <v>141</v>
      </c>
      <c r="D6" s="12" t="s">
        <v>142</v>
      </c>
    </row>
    <row r="7" spans="1:4" ht="64.95" customHeight="1" x14ac:dyDescent="0.3">
      <c r="A7" s="9" t="s">
        <v>39</v>
      </c>
      <c r="B7" s="11" t="s">
        <v>143</v>
      </c>
      <c r="C7" s="6" t="s">
        <v>144</v>
      </c>
      <c r="D7" s="12" t="s">
        <v>145</v>
      </c>
    </row>
    <row r="8" spans="1:4" ht="64.95" customHeight="1" x14ac:dyDescent="0.3">
      <c r="A8" s="9" t="s">
        <v>45</v>
      </c>
      <c r="B8" s="11" t="s">
        <v>146</v>
      </c>
      <c r="C8" s="6" t="s">
        <v>147</v>
      </c>
      <c r="D8" s="12" t="s">
        <v>148</v>
      </c>
    </row>
    <row r="9" spans="1:4" ht="64.95" customHeight="1" x14ac:dyDescent="0.3">
      <c r="A9" s="9" t="s">
        <v>50</v>
      </c>
      <c r="B9" s="11" t="s">
        <v>149</v>
      </c>
      <c r="C9" s="6" t="s">
        <v>150</v>
      </c>
      <c r="D9" s="12" t="s">
        <v>151</v>
      </c>
    </row>
    <row r="12" spans="1:4" ht="22.05" customHeight="1" x14ac:dyDescent="0.3">
      <c r="A12" s="28" t="s">
        <v>152</v>
      </c>
      <c r="B12" s="29"/>
      <c r="C12" s="29"/>
      <c r="D12" s="30"/>
    </row>
    <row r="13" spans="1:4" x14ac:dyDescent="0.3">
      <c r="A13" s="1" t="s">
        <v>21</v>
      </c>
      <c r="B13" s="1" t="s">
        <v>153</v>
      </c>
      <c r="C13" s="1" t="s">
        <v>154</v>
      </c>
      <c r="D13" s="1" t="s">
        <v>155</v>
      </c>
    </row>
    <row r="14" spans="1:4" ht="36" customHeight="1" x14ac:dyDescent="0.3">
      <c r="A14" s="9" t="s">
        <v>156</v>
      </c>
      <c r="B14" s="11" t="s">
        <v>157</v>
      </c>
      <c r="C14" s="6" t="s">
        <v>158</v>
      </c>
      <c r="D14" s="13" t="s">
        <v>159</v>
      </c>
    </row>
    <row r="15" spans="1:4" ht="36" customHeight="1" x14ac:dyDescent="0.3">
      <c r="A15" s="9" t="s">
        <v>160</v>
      </c>
      <c r="B15" s="11" t="s">
        <v>161</v>
      </c>
      <c r="C15" s="6" t="s">
        <v>162</v>
      </c>
      <c r="D15" s="13" t="s">
        <v>163</v>
      </c>
    </row>
    <row r="16" spans="1:4" ht="36" customHeight="1" x14ac:dyDescent="0.3">
      <c r="A16" s="9" t="s">
        <v>164</v>
      </c>
      <c r="B16" s="11" t="s">
        <v>165</v>
      </c>
      <c r="C16" s="6" t="s">
        <v>166</v>
      </c>
      <c r="D16" s="13" t="s">
        <v>167</v>
      </c>
    </row>
    <row r="17" spans="1:4" ht="36" customHeight="1" x14ac:dyDescent="0.3">
      <c r="A17" s="9" t="s">
        <v>168</v>
      </c>
      <c r="B17" s="11" t="s">
        <v>169</v>
      </c>
      <c r="C17" s="6" t="s">
        <v>170</v>
      </c>
      <c r="D17" s="13" t="s">
        <v>171</v>
      </c>
    </row>
    <row r="18" spans="1:4" ht="36" customHeight="1" x14ac:dyDescent="0.3">
      <c r="A18" s="9" t="s">
        <v>172</v>
      </c>
      <c r="B18" s="11" t="s">
        <v>173</v>
      </c>
      <c r="C18" s="6" t="s">
        <v>174</v>
      </c>
      <c r="D18" s="13" t="s">
        <v>175</v>
      </c>
    </row>
    <row r="19" spans="1:4" ht="30" customHeight="1" x14ac:dyDescent="0.3">
      <c r="B19" s="34" t="s">
        <v>176</v>
      </c>
      <c r="C19" s="26"/>
      <c r="D19" s="27"/>
    </row>
    <row r="21" spans="1:4" ht="22.05" customHeight="1" x14ac:dyDescent="0.3">
      <c r="A21" s="35" t="s">
        <v>177</v>
      </c>
      <c r="B21" s="29"/>
      <c r="C21" s="29"/>
      <c r="D21" s="30"/>
    </row>
    <row r="22" spans="1:4" ht="214.2" customHeight="1" x14ac:dyDescent="0.3">
      <c r="A22" s="14" t="s">
        <v>178</v>
      </c>
      <c r="B22" s="33" t="s">
        <v>179</v>
      </c>
      <c r="C22" s="26"/>
      <c r="D22" s="27"/>
    </row>
    <row r="24" spans="1:4" ht="22.05" customHeight="1" x14ac:dyDescent="0.3">
      <c r="A24" s="35" t="s">
        <v>180</v>
      </c>
      <c r="B24" s="29"/>
      <c r="C24" s="29"/>
      <c r="D24" s="30"/>
    </row>
    <row r="25" spans="1:4" ht="202.8" customHeight="1" x14ac:dyDescent="0.3">
      <c r="A25" s="14" t="s">
        <v>178</v>
      </c>
      <c r="B25" s="33" t="s">
        <v>181</v>
      </c>
      <c r="C25" s="26"/>
      <c r="D25" s="27"/>
    </row>
    <row r="27" spans="1:4" ht="22.05" customHeight="1" x14ac:dyDescent="0.3">
      <c r="A27" s="35" t="s">
        <v>182</v>
      </c>
      <c r="B27" s="29"/>
      <c r="C27" s="29"/>
      <c r="D27" s="30"/>
    </row>
    <row r="28" spans="1:4" ht="209.4" customHeight="1" x14ac:dyDescent="0.3">
      <c r="A28" s="14" t="s">
        <v>178</v>
      </c>
      <c r="B28" s="33" t="s">
        <v>183</v>
      </c>
      <c r="C28" s="26"/>
      <c r="D28" s="27"/>
    </row>
    <row r="30" spans="1:4" ht="22.05" customHeight="1" x14ac:dyDescent="0.3">
      <c r="A30" s="35" t="s">
        <v>184</v>
      </c>
      <c r="B30" s="29"/>
      <c r="C30" s="29"/>
      <c r="D30" s="30"/>
    </row>
    <row r="31" spans="1:4" ht="209.4" customHeight="1" x14ac:dyDescent="0.3">
      <c r="A31" s="14" t="s">
        <v>178</v>
      </c>
      <c r="B31" s="33" t="s">
        <v>185</v>
      </c>
      <c r="C31" s="26"/>
      <c r="D31" s="27"/>
    </row>
  </sheetData>
  <mergeCells count="12">
    <mergeCell ref="A1:D1"/>
    <mergeCell ref="B28:D28"/>
    <mergeCell ref="B19:D19"/>
    <mergeCell ref="A27:D27"/>
    <mergeCell ref="B31:D31"/>
    <mergeCell ref="A12:D12"/>
    <mergeCell ref="B22:D22"/>
    <mergeCell ref="A3:D3"/>
    <mergeCell ref="A21:D21"/>
    <mergeCell ref="A30:D30"/>
    <mergeCell ref="A24:D24"/>
    <mergeCell ref="B25:D2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
  <sheetViews>
    <sheetView tabSelected="1" topLeftCell="A4" workbookViewId="0">
      <selection activeCell="G6" sqref="G6"/>
    </sheetView>
  </sheetViews>
  <sheetFormatPr defaultRowHeight="14.4" x14ac:dyDescent="0.3"/>
  <cols>
    <col min="1" max="1" width="5" customWidth="1"/>
    <col min="2" max="2" width="14" customWidth="1"/>
    <col min="3" max="3" width="26" customWidth="1"/>
    <col min="4" max="4" width="10" customWidth="1"/>
    <col min="5" max="5" width="20.109375" customWidth="1"/>
    <col min="6" max="6" width="8" customWidth="1"/>
    <col min="7" max="7" width="12" customWidth="1"/>
    <col min="8" max="8" width="10" customWidth="1"/>
    <col min="9" max="9" width="38" customWidth="1"/>
    <col min="10" max="10" width="28" customWidth="1"/>
    <col min="11" max="11" width="14" customWidth="1"/>
  </cols>
  <sheetData>
    <row r="1" spans="1:11" ht="30" customHeight="1" x14ac:dyDescent="0.3">
      <c r="A1" s="31" t="s">
        <v>186</v>
      </c>
      <c r="B1" s="29"/>
      <c r="C1" s="29"/>
      <c r="D1" s="29"/>
      <c r="E1" s="29"/>
      <c r="F1" s="29"/>
      <c r="G1" s="29"/>
      <c r="H1" s="29"/>
      <c r="I1" s="29"/>
      <c r="J1" s="29"/>
      <c r="K1" s="30"/>
    </row>
    <row r="3" spans="1:11" ht="22.05" customHeight="1" x14ac:dyDescent="0.3">
      <c r="A3" s="34" t="s">
        <v>187</v>
      </c>
      <c r="B3" s="26"/>
      <c r="C3" s="26"/>
      <c r="D3" s="26"/>
      <c r="E3" s="26"/>
      <c r="F3" s="26"/>
      <c r="G3" s="26"/>
      <c r="H3" s="26"/>
      <c r="I3" s="26"/>
      <c r="J3" s="26"/>
      <c r="K3" s="27"/>
    </row>
    <row r="4" spans="1:11" ht="36" customHeight="1" x14ac:dyDescent="0.3">
      <c r="A4" s="15" t="s">
        <v>21</v>
      </c>
      <c r="B4" s="15" t="s">
        <v>188</v>
      </c>
      <c r="C4" s="15" t="s">
        <v>189</v>
      </c>
      <c r="D4" s="15" t="s">
        <v>190</v>
      </c>
      <c r="E4" s="15" t="s">
        <v>191</v>
      </c>
      <c r="F4" s="15" t="s">
        <v>192</v>
      </c>
      <c r="G4" s="15" t="s">
        <v>193</v>
      </c>
      <c r="H4" s="15" t="s">
        <v>194</v>
      </c>
      <c r="I4" s="15" t="s">
        <v>195</v>
      </c>
      <c r="J4" s="15" t="s">
        <v>196</v>
      </c>
      <c r="K4" s="15" t="s">
        <v>197</v>
      </c>
    </row>
    <row r="5" spans="1:11" ht="146.4" customHeight="1" x14ac:dyDescent="0.3">
      <c r="A5" s="9" t="s">
        <v>28</v>
      </c>
      <c r="B5" s="6" t="s">
        <v>286</v>
      </c>
      <c r="C5" s="22" t="s">
        <v>287</v>
      </c>
      <c r="D5" s="6">
        <v>100</v>
      </c>
      <c r="E5" s="6" t="s">
        <v>288</v>
      </c>
      <c r="F5" s="6">
        <v>17</v>
      </c>
      <c r="G5" s="6">
        <v>14</v>
      </c>
      <c r="H5" s="6" t="s">
        <v>289</v>
      </c>
      <c r="I5" s="6" t="s">
        <v>291</v>
      </c>
      <c r="J5" s="6" t="s">
        <v>290</v>
      </c>
      <c r="K5" s="23">
        <v>46155</v>
      </c>
    </row>
    <row r="6" spans="1:11" ht="163.80000000000001" customHeight="1" x14ac:dyDescent="0.3">
      <c r="A6" s="9" t="s">
        <v>35</v>
      </c>
      <c r="B6" s="5" t="s">
        <v>293</v>
      </c>
      <c r="C6" s="37" t="s">
        <v>310</v>
      </c>
      <c r="D6" s="5">
        <v>500</v>
      </c>
      <c r="E6" s="5" t="s">
        <v>294</v>
      </c>
      <c r="F6" s="5">
        <v>16</v>
      </c>
      <c r="G6" s="5">
        <v>14</v>
      </c>
      <c r="H6" s="5" t="s">
        <v>295</v>
      </c>
      <c r="I6" s="5" t="s">
        <v>296</v>
      </c>
      <c r="J6" s="5"/>
      <c r="K6" s="24">
        <v>46156</v>
      </c>
    </row>
    <row r="7" spans="1:11" ht="85.05" customHeight="1" x14ac:dyDescent="0.3">
      <c r="A7" s="9" t="s">
        <v>39</v>
      </c>
      <c r="B7" s="6" t="s">
        <v>297</v>
      </c>
      <c r="C7" s="22" t="s">
        <v>309</v>
      </c>
      <c r="D7" s="6">
        <v>400</v>
      </c>
      <c r="E7" s="6" t="s">
        <v>298</v>
      </c>
      <c r="F7" s="6">
        <v>15</v>
      </c>
      <c r="G7" s="6">
        <v>14</v>
      </c>
      <c r="H7" s="6" t="s">
        <v>295</v>
      </c>
      <c r="I7" s="6" t="s">
        <v>299</v>
      </c>
      <c r="J7" s="6" t="s">
        <v>302</v>
      </c>
      <c r="K7" s="23">
        <v>46156</v>
      </c>
    </row>
    <row r="8" spans="1:11" ht="85.05" customHeight="1" x14ac:dyDescent="0.3">
      <c r="A8" s="9" t="s">
        <v>45</v>
      </c>
      <c r="B8" s="5" t="s">
        <v>304</v>
      </c>
      <c r="C8" s="37" t="s">
        <v>309</v>
      </c>
      <c r="D8" s="5">
        <v>250</v>
      </c>
      <c r="E8" s="5" t="s">
        <v>305</v>
      </c>
      <c r="F8" s="5">
        <v>17</v>
      </c>
      <c r="G8" s="5">
        <v>11</v>
      </c>
      <c r="H8" s="5" t="s">
        <v>295</v>
      </c>
      <c r="I8" s="5" t="s">
        <v>300</v>
      </c>
      <c r="J8" s="5" t="s">
        <v>303</v>
      </c>
      <c r="K8" s="24">
        <v>46156</v>
      </c>
    </row>
    <row r="9" spans="1:11" ht="85.05" customHeight="1" x14ac:dyDescent="0.3">
      <c r="A9" s="9" t="s">
        <v>50</v>
      </c>
      <c r="B9" s="6" t="s">
        <v>306</v>
      </c>
      <c r="C9" s="22" t="s">
        <v>308</v>
      </c>
      <c r="D9" s="6">
        <v>400</v>
      </c>
      <c r="E9" s="6" t="s">
        <v>307</v>
      </c>
      <c r="F9" s="6">
        <v>14</v>
      </c>
      <c r="G9" s="6">
        <v>7</v>
      </c>
      <c r="H9" s="6" t="s">
        <v>295</v>
      </c>
      <c r="I9" s="6" t="s">
        <v>301</v>
      </c>
      <c r="J9" s="6"/>
      <c r="K9" s="23">
        <v>46156</v>
      </c>
    </row>
    <row r="10" spans="1:11" ht="28.05" customHeight="1" x14ac:dyDescent="0.3">
      <c r="A10" s="28" t="s">
        <v>198</v>
      </c>
      <c r="B10" s="30"/>
      <c r="C10" s="16" t="s">
        <v>199</v>
      </c>
      <c r="D10" s="17">
        <f>SUM(G5:G9)</f>
        <v>60</v>
      </c>
      <c r="E10" s="16" t="s">
        <v>200</v>
      </c>
      <c r="F10" s="17">
        <f>80-SUM(G5:G9)</f>
        <v>20</v>
      </c>
    </row>
  </sheetData>
  <mergeCells count="3">
    <mergeCell ref="A1:K1"/>
    <mergeCell ref="A10:B10"/>
    <mergeCell ref="A3:K3"/>
  </mergeCells>
  <hyperlinks>
    <hyperlink ref="C5" r:id="rId1" xr:uid="{70007C70-DD45-434B-BE10-236FDAE51B4C}"/>
    <hyperlink ref="C9" r:id="rId2" xr:uid="{61CB745B-8F01-47B2-99B9-387BC720BAC5}"/>
    <hyperlink ref="C8" r:id="rId3" xr:uid="{4DA1EFFB-2185-438C-A747-A1788A1800B5}"/>
    <hyperlink ref="C7" r:id="rId4" xr:uid="{33281987-61ED-46F9-BC8F-54CE82D7A710}"/>
    <hyperlink ref="C6" r:id="rId5" xr:uid="{D61A9393-9273-4FB8-A4B3-9755150FDCB8}"/>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2"/>
  <sheetViews>
    <sheetView topLeftCell="A25" workbookViewId="0">
      <selection activeCell="F30" sqref="F30"/>
    </sheetView>
  </sheetViews>
  <sheetFormatPr defaultRowHeight="14.4" x14ac:dyDescent="0.3"/>
  <cols>
    <col min="1" max="1" width="6" customWidth="1"/>
    <col min="2" max="2" width="30" customWidth="1"/>
    <col min="3" max="3" width="22" customWidth="1"/>
    <col min="4" max="4" width="8" customWidth="1"/>
    <col min="5" max="5" width="38" customWidth="1"/>
    <col min="6" max="6" width="15.6640625" customWidth="1"/>
  </cols>
  <sheetData>
    <row r="1" spans="1:6" ht="30" customHeight="1" x14ac:dyDescent="0.3">
      <c r="A1" s="31" t="s">
        <v>201</v>
      </c>
      <c r="B1" s="29"/>
      <c r="C1" s="29"/>
      <c r="D1" s="29"/>
      <c r="E1" s="29"/>
      <c r="F1" s="30"/>
    </row>
    <row r="3" spans="1:6" x14ac:dyDescent="0.3">
      <c r="A3" s="1" t="s">
        <v>202</v>
      </c>
      <c r="B3" s="1" t="s">
        <v>72</v>
      </c>
      <c r="C3" s="1" t="s">
        <v>203</v>
      </c>
      <c r="D3" s="1" t="s">
        <v>74</v>
      </c>
      <c r="E3" s="1" t="s">
        <v>204</v>
      </c>
      <c r="F3" s="1" t="s">
        <v>205</v>
      </c>
    </row>
    <row r="4" spans="1:6" ht="36" customHeight="1" x14ac:dyDescent="0.3">
      <c r="A4" s="18" t="s">
        <v>206</v>
      </c>
      <c r="B4" s="18" t="s">
        <v>207</v>
      </c>
      <c r="C4" s="18" t="s">
        <v>208</v>
      </c>
      <c r="D4" s="18">
        <v>5</v>
      </c>
      <c r="E4" s="18" t="s">
        <v>209</v>
      </c>
    </row>
    <row r="5" spans="1:6" ht="36" customHeight="1" x14ac:dyDescent="0.3">
      <c r="A5" s="18"/>
      <c r="B5" s="18" t="s">
        <v>210</v>
      </c>
      <c r="C5" s="18" t="s">
        <v>211</v>
      </c>
      <c r="D5" s="18">
        <v>5</v>
      </c>
      <c r="E5" s="18" t="s">
        <v>212</v>
      </c>
    </row>
    <row r="6" spans="1:6" ht="36" customHeight="1" x14ac:dyDescent="0.3">
      <c r="A6" s="18"/>
      <c r="B6" s="18" t="s">
        <v>213</v>
      </c>
      <c r="C6" s="18" t="s">
        <v>214</v>
      </c>
      <c r="D6" s="18">
        <v>5</v>
      </c>
      <c r="E6" s="18" t="s">
        <v>215</v>
      </c>
    </row>
    <row r="7" spans="1:6" ht="36" customHeight="1" x14ac:dyDescent="0.3">
      <c r="A7" s="18"/>
      <c r="B7" s="18" t="s">
        <v>216</v>
      </c>
      <c r="C7" s="18" t="s">
        <v>217</v>
      </c>
      <c r="D7" s="18">
        <v>3</v>
      </c>
      <c r="E7" s="18" t="s">
        <v>218</v>
      </c>
    </row>
    <row r="8" spans="1:6" ht="36" customHeight="1" x14ac:dyDescent="0.3">
      <c r="A8" s="18"/>
      <c r="B8" s="18" t="s">
        <v>219</v>
      </c>
      <c r="C8" s="18" t="s">
        <v>220</v>
      </c>
      <c r="D8" s="18">
        <v>2</v>
      </c>
      <c r="E8" s="18" t="s">
        <v>221</v>
      </c>
    </row>
    <row r="9" spans="1:6" ht="36" customHeight="1" x14ac:dyDescent="0.3">
      <c r="A9" s="5" t="s">
        <v>222</v>
      </c>
      <c r="B9" s="5" t="s">
        <v>223</v>
      </c>
      <c r="C9" s="5" t="s">
        <v>224</v>
      </c>
      <c r="D9" s="5">
        <v>5</v>
      </c>
      <c r="E9" s="5" t="s">
        <v>225</v>
      </c>
    </row>
    <row r="10" spans="1:6" ht="36" customHeight="1" x14ac:dyDescent="0.3">
      <c r="A10" s="5"/>
      <c r="B10" s="5" t="s">
        <v>226</v>
      </c>
      <c r="C10" s="5" t="s">
        <v>227</v>
      </c>
      <c r="D10" s="5">
        <v>5</v>
      </c>
      <c r="E10" s="5" t="s">
        <v>228</v>
      </c>
    </row>
    <row r="11" spans="1:6" ht="36" customHeight="1" x14ac:dyDescent="0.3">
      <c r="A11" s="5"/>
      <c r="B11" s="5" t="s">
        <v>229</v>
      </c>
      <c r="C11" s="5" t="s">
        <v>230</v>
      </c>
      <c r="D11" s="5">
        <v>5</v>
      </c>
      <c r="E11" s="5" t="s">
        <v>231</v>
      </c>
    </row>
    <row r="12" spans="1:6" ht="36" customHeight="1" x14ac:dyDescent="0.3">
      <c r="A12" s="13" t="s">
        <v>232</v>
      </c>
      <c r="B12" s="13" t="s">
        <v>233</v>
      </c>
      <c r="C12" s="13" t="s">
        <v>234</v>
      </c>
      <c r="D12" s="13">
        <v>6</v>
      </c>
      <c r="E12" s="13" t="s">
        <v>235</v>
      </c>
    </row>
    <row r="13" spans="1:6" ht="36" customHeight="1" x14ac:dyDescent="0.3">
      <c r="A13" s="13"/>
      <c r="B13" s="13" t="s">
        <v>236</v>
      </c>
      <c r="C13" s="13" t="s">
        <v>237</v>
      </c>
      <c r="D13" s="13">
        <v>6</v>
      </c>
      <c r="E13" s="13" t="s">
        <v>238</v>
      </c>
    </row>
    <row r="14" spans="1:6" ht="36" customHeight="1" x14ac:dyDescent="0.3">
      <c r="A14" s="13"/>
      <c r="B14" s="13" t="s">
        <v>239</v>
      </c>
      <c r="C14" s="13" t="s">
        <v>240</v>
      </c>
      <c r="D14" s="13">
        <v>6</v>
      </c>
      <c r="E14" s="13" t="s">
        <v>241</v>
      </c>
    </row>
    <row r="15" spans="1:6" ht="36" customHeight="1" x14ac:dyDescent="0.3">
      <c r="A15" s="13"/>
      <c r="B15" s="13" t="s">
        <v>242</v>
      </c>
      <c r="C15" s="13" t="s">
        <v>243</v>
      </c>
      <c r="D15" s="13">
        <v>6</v>
      </c>
      <c r="E15" s="13" t="s">
        <v>244</v>
      </c>
    </row>
    <row r="16" spans="1:6" ht="36" customHeight="1" x14ac:dyDescent="0.3">
      <c r="A16" s="13"/>
      <c r="B16" s="13" t="s">
        <v>245</v>
      </c>
      <c r="C16" s="13" t="s">
        <v>246</v>
      </c>
      <c r="D16" s="13">
        <v>6</v>
      </c>
      <c r="E16" s="13" t="s">
        <v>247</v>
      </c>
    </row>
    <row r="17" spans="1:6" ht="36" customHeight="1" x14ac:dyDescent="0.3">
      <c r="A17" s="19" t="s">
        <v>248</v>
      </c>
      <c r="B17" s="19" t="s">
        <v>249</v>
      </c>
      <c r="C17" s="19" t="s">
        <v>250</v>
      </c>
      <c r="D17" s="19">
        <v>5</v>
      </c>
      <c r="E17" s="19" t="s">
        <v>251</v>
      </c>
    </row>
    <row r="18" spans="1:6" ht="36" customHeight="1" x14ac:dyDescent="0.3">
      <c r="A18" s="19"/>
      <c r="B18" s="19" t="s">
        <v>252</v>
      </c>
      <c r="C18" s="19" t="s">
        <v>253</v>
      </c>
      <c r="D18" s="19">
        <v>5</v>
      </c>
      <c r="E18" s="19" t="s">
        <v>254</v>
      </c>
    </row>
    <row r="19" spans="1:6" ht="36" customHeight="1" x14ac:dyDescent="0.3">
      <c r="A19" s="19"/>
      <c r="B19" s="19" t="s">
        <v>255</v>
      </c>
      <c r="C19" s="19" t="s">
        <v>256</v>
      </c>
      <c r="D19" s="19">
        <v>5</v>
      </c>
      <c r="E19" s="19" t="s">
        <v>257</v>
      </c>
    </row>
    <row r="20" spans="1:6" ht="36" customHeight="1" x14ac:dyDescent="0.3">
      <c r="A20" s="20" t="s">
        <v>258</v>
      </c>
      <c r="B20" s="20" t="s">
        <v>259</v>
      </c>
      <c r="C20" s="20" t="s">
        <v>260</v>
      </c>
      <c r="D20" s="20">
        <v>10</v>
      </c>
      <c r="E20" s="20" t="s">
        <v>261</v>
      </c>
    </row>
    <row r="21" spans="1:6" ht="25.95" customHeight="1" x14ac:dyDescent="0.3">
      <c r="A21" s="36" t="s">
        <v>262</v>
      </c>
      <c r="B21" s="29"/>
      <c r="C21" s="30"/>
      <c r="D21" s="17">
        <f>SUM(D4:D20)</f>
        <v>90</v>
      </c>
      <c r="E21" s="3" t="s">
        <v>263</v>
      </c>
      <c r="F21" s="21"/>
    </row>
    <row r="23" spans="1:6" ht="22.05" customHeight="1" x14ac:dyDescent="0.3">
      <c r="A23" s="28" t="s">
        <v>264</v>
      </c>
      <c r="B23" s="29"/>
      <c r="C23" s="29"/>
      <c r="D23" s="29"/>
      <c r="E23" s="29"/>
      <c r="F23" s="30"/>
    </row>
    <row r="24" spans="1:6" ht="268.2" customHeight="1" x14ac:dyDescent="0.3">
      <c r="A24" s="33" t="s">
        <v>265</v>
      </c>
      <c r="B24" s="26"/>
      <c r="C24" s="26"/>
      <c r="D24" s="26"/>
      <c r="E24" s="26"/>
      <c r="F24" s="27"/>
    </row>
    <row r="26" spans="1:6" ht="22.05" customHeight="1" x14ac:dyDescent="0.3">
      <c r="A26" s="28" t="s">
        <v>266</v>
      </c>
      <c r="B26" s="29"/>
      <c r="C26" s="29"/>
      <c r="D26" s="29"/>
      <c r="E26" s="29"/>
      <c r="F26" s="30"/>
    </row>
    <row r="27" spans="1:6" x14ac:dyDescent="0.3">
      <c r="A27" s="1" t="s">
        <v>2</v>
      </c>
      <c r="B27" s="1" t="s">
        <v>267</v>
      </c>
      <c r="C27" s="1" t="s">
        <v>205</v>
      </c>
      <c r="D27" s="1" t="s">
        <v>268</v>
      </c>
      <c r="E27" s="1" t="s">
        <v>269</v>
      </c>
      <c r="F27" s="1" t="s">
        <v>270</v>
      </c>
    </row>
    <row r="28" spans="1:6" ht="28.05" customHeight="1" x14ac:dyDescent="0.3">
      <c r="A28" s="5" t="s">
        <v>5</v>
      </c>
      <c r="B28" s="5" t="s">
        <v>271</v>
      </c>
      <c r="C28" s="5" t="s">
        <v>272</v>
      </c>
      <c r="D28" s="5" t="s">
        <v>273</v>
      </c>
      <c r="E28" s="5" t="s">
        <v>274</v>
      </c>
      <c r="F28" s="5" t="s">
        <v>67</v>
      </c>
    </row>
    <row r="29" spans="1:6" ht="28.05" customHeight="1" x14ac:dyDescent="0.3">
      <c r="A29" s="6" t="s">
        <v>8</v>
      </c>
      <c r="B29" s="6" t="s">
        <v>275</v>
      </c>
      <c r="C29" s="6" t="s">
        <v>276</v>
      </c>
      <c r="D29" s="6" t="s">
        <v>274</v>
      </c>
      <c r="E29" s="6" t="s">
        <v>274</v>
      </c>
      <c r="F29" s="6" t="s">
        <v>274</v>
      </c>
    </row>
    <row r="30" spans="1:6" ht="61.2" customHeight="1" x14ac:dyDescent="0.3">
      <c r="A30" s="5" t="s">
        <v>11</v>
      </c>
      <c r="B30" s="5" t="s">
        <v>12</v>
      </c>
      <c r="C30" s="5" t="s">
        <v>292</v>
      </c>
      <c r="D30" s="5" t="s">
        <v>277</v>
      </c>
      <c r="E30" s="5" t="s">
        <v>278</v>
      </c>
      <c r="F30" s="5" t="s">
        <v>279</v>
      </c>
    </row>
    <row r="31" spans="1:6" ht="28.05" customHeight="1" x14ac:dyDescent="0.3">
      <c r="A31" s="5" t="s">
        <v>14</v>
      </c>
      <c r="B31" s="5" t="s">
        <v>15</v>
      </c>
      <c r="C31" s="5" t="s">
        <v>280</v>
      </c>
      <c r="D31" s="5" t="s">
        <v>281</v>
      </c>
      <c r="E31" s="5" t="s">
        <v>282</v>
      </c>
      <c r="F31" s="5" t="s">
        <v>283</v>
      </c>
    </row>
    <row r="32" spans="1:6" ht="28.05" customHeight="1" x14ac:dyDescent="0.3">
      <c r="A32" s="13" t="s">
        <v>17</v>
      </c>
      <c r="B32" s="13" t="s">
        <v>284</v>
      </c>
      <c r="C32" s="13" t="s">
        <v>285</v>
      </c>
      <c r="D32" s="13" t="s">
        <v>274</v>
      </c>
      <c r="E32" s="13" t="s">
        <v>274</v>
      </c>
      <c r="F32" s="13" t="s">
        <v>274</v>
      </c>
    </row>
  </sheetData>
  <mergeCells count="5">
    <mergeCell ref="A24:F24"/>
    <mergeCell ref="A1:F1"/>
    <mergeCell ref="A23:F23"/>
    <mergeCell ref="A21:C21"/>
    <mergeCell ref="A26:F2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1_Job_Market_Overview</vt:lpstr>
      <vt:lpstr>2_Practice_Guide</vt:lpstr>
      <vt:lpstr>3_Concept_Notes_Templates</vt:lpstr>
      <vt:lpstr>4_Bid_Log</vt:lpstr>
      <vt:lpstr>5_Scoring_Rubric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2026-05-13T13:50:49Z</dcterms:created>
  <dcterms:modified xsi:type="dcterms:W3CDTF">2026-05-14T13:49:39Z</dcterms:modified>
</cp:coreProperties>
</file>